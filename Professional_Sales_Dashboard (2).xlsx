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452" activeTab="2"/>
  </bookViews>
  <sheets>
    <sheet name="Sales_Data" sheetId="1" r:id="rId1"/>
    <sheet name="Dashboard" sheetId="2" r:id="rId2"/>
    <sheet name="charts" sheetId="3" r:id="rId3"/>
  </sheets>
  <calcPr calcId="162913"/>
</workbook>
</file>

<file path=xl/calcChain.xml><?xml version="1.0" encoding="utf-8"?>
<calcChain xmlns="http://schemas.openxmlformats.org/spreadsheetml/2006/main">
  <c r="H11" i="2" l="1"/>
  <c r="G11" i="2"/>
  <c r="H10" i="2"/>
  <c r="G10" i="2"/>
  <c r="H9" i="2"/>
  <c r="G9" i="2"/>
  <c r="H8" i="2"/>
  <c r="G8" i="2"/>
  <c r="H7" i="2"/>
  <c r="G7" i="2"/>
  <c r="E7" i="2"/>
  <c r="K6" i="2"/>
  <c r="H6" i="2"/>
  <c r="G6" i="2"/>
  <c r="E6" i="2"/>
  <c r="B6" i="2"/>
  <c r="K5" i="2"/>
  <c r="H5" i="2"/>
  <c r="G5" i="2"/>
  <c r="E5" i="2"/>
  <c r="B5" i="2"/>
  <c r="K4" i="2"/>
  <c r="H4" i="2"/>
  <c r="G4" i="2"/>
  <c r="E4" i="2"/>
  <c r="B4" i="2"/>
  <c r="B3" i="2"/>
</calcChain>
</file>

<file path=xl/sharedStrings.xml><?xml version="1.0" encoding="utf-8"?>
<sst xmlns="http://schemas.openxmlformats.org/spreadsheetml/2006/main" count="58" uniqueCount="36">
  <si>
    <t>Order ID</t>
  </si>
  <si>
    <t>Date</t>
  </si>
  <si>
    <t>Product</t>
  </si>
  <si>
    <t>Category</t>
  </si>
  <si>
    <t>Region</t>
  </si>
  <si>
    <t>Sales</t>
  </si>
  <si>
    <t>Quantity</t>
  </si>
  <si>
    <t>Profit</t>
  </si>
  <si>
    <t>01-01-2024</t>
  </si>
  <si>
    <t>Laptop</t>
  </si>
  <si>
    <t>Technology</t>
  </si>
  <si>
    <t>South</t>
  </si>
  <si>
    <t>02-01-2024</t>
  </si>
  <si>
    <t>Phone</t>
  </si>
  <si>
    <t>North</t>
  </si>
  <si>
    <t>03-01-2024</t>
  </si>
  <si>
    <t>Chair</t>
  </si>
  <si>
    <t>Furniture</t>
  </si>
  <si>
    <t>East</t>
  </si>
  <si>
    <t>04-01-2024</t>
  </si>
  <si>
    <t>Table</t>
  </si>
  <si>
    <t>West</t>
  </si>
  <si>
    <t>05-01-2024</t>
  </si>
  <si>
    <t>Printer</t>
  </si>
  <si>
    <t>06-01-2024</t>
  </si>
  <si>
    <t>Pen</t>
  </si>
  <si>
    <t>Office Supplies</t>
  </si>
  <si>
    <t>07-01-2024</t>
  </si>
  <si>
    <t>Notebook</t>
  </si>
  <si>
    <t>08-01-2024</t>
  </si>
  <si>
    <t>Monitor</t>
  </si>
  <si>
    <t>Sales Dashboard</t>
  </si>
  <si>
    <t>Total Sales</t>
  </si>
  <si>
    <t>Total Profit</t>
  </si>
  <si>
    <t>Total Orders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</si>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</sst>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 Profit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Dashboard!$J$4:$J$6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Dashboard!$K$4:$K$6</c:f>
              <c:numCache>
                <c:formatCode>General</c:formatCode>
                <c:ptCount val="3"/>
                <c:pt idx="0">
                  <c:v>18500</c:v>
                </c:pt>
                <c:pt idx="1">
                  <c:v>2500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C-4E7E-8A16-73CEC9CDD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Trend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7.0555555555555554E-3"/>
          <c:y val="0"/>
          <c:w val="0.81655555555555559"/>
          <c:h val="1"/>
        </c:manualLayout>
      </c:layout>
      <c:lineChart>
        <c:grouping val="standard"/>
        <c:varyColors val="1"/>
        <c:ser>
          <c:idx val="0"/>
          <c:order val="0"/>
          <c:tx>
            <c:strRef>
              <c:f>Dashboard!$H$3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Dashboard!$G$4:$G$10</c:f>
              <c:numCache>
                <c:formatCode>General</c:formatCode>
                <c:ptCount val="7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</c:numCache>
            </c:numRef>
          </c:cat>
          <c:val>
            <c:numRef>
              <c:f>Dashboard!$H$4:$H$10</c:f>
              <c:numCache>
                <c:formatCode>General</c:formatCode>
                <c:ptCount val="7"/>
                <c:pt idx="0">
                  <c:v>50000</c:v>
                </c:pt>
                <c:pt idx="1">
                  <c:v>20000</c:v>
                </c:pt>
                <c:pt idx="2">
                  <c:v>5000</c:v>
                </c:pt>
                <c:pt idx="3">
                  <c:v>7000</c:v>
                </c:pt>
                <c:pt idx="4">
                  <c:v>15000</c:v>
                </c:pt>
                <c:pt idx="5">
                  <c:v>500</c:v>
                </c:pt>
                <c:pt idx="6">
                  <c:v>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60-4B3A-9C12-BF597F81D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Region-wise Sales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Dashboard!$D$4:$D$7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65000</c:v>
                </c:pt>
                <c:pt idx="1">
                  <c:v>20500</c:v>
                </c:pt>
                <c:pt idx="2">
                  <c:v>6000</c:v>
                </c:pt>
                <c:pt idx="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6-4C5B-935D-846F0D0D9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</xdr:colOff>
      <xdr:row>14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</xdr:row>
      <xdr:rowOff>0</xdr:rowOff>
    </xdr:from>
    <xdr:ext cx="5400000" cy="270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15</xdr:row>
      <xdr:rowOff>0</xdr:rowOff>
    </xdr:from>
    <xdr:ext cx="5400000" cy="270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>
        <v>2</v>
      </c>
      <c r="H2">
        <v>8000</v>
      </c>
    </row>
    <row r="3" spans="1:8" x14ac:dyDescent="0.3">
      <c r="A3">
        <v>1002</v>
      </c>
      <c r="B3" t="s">
        <v>12</v>
      </c>
      <c r="C3" t="s">
        <v>13</v>
      </c>
      <c r="D3" t="s">
        <v>10</v>
      </c>
      <c r="E3" t="s">
        <v>14</v>
      </c>
      <c r="F3">
        <v>20000</v>
      </c>
      <c r="G3">
        <v>1</v>
      </c>
      <c r="H3">
        <v>5000</v>
      </c>
    </row>
    <row r="4" spans="1:8" x14ac:dyDescent="0.3">
      <c r="A4">
        <v>1003</v>
      </c>
      <c r="B4" t="s">
        <v>15</v>
      </c>
      <c r="C4" t="s">
        <v>16</v>
      </c>
      <c r="D4" t="s">
        <v>17</v>
      </c>
      <c r="E4" t="s">
        <v>18</v>
      </c>
      <c r="F4">
        <v>5000</v>
      </c>
      <c r="G4">
        <v>3</v>
      </c>
      <c r="H4">
        <v>1000</v>
      </c>
    </row>
    <row r="5" spans="1:8" x14ac:dyDescent="0.3">
      <c r="A5">
        <v>1004</v>
      </c>
      <c r="B5" t="s">
        <v>19</v>
      </c>
      <c r="C5" t="s">
        <v>20</v>
      </c>
      <c r="D5" t="s">
        <v>17</v>
      </c>
      <c r="E5" t="s">
        <v>21</v>
      </c>
      <c r="F5">
        <v>7000</v>
      </c>
      <c r="G5">
        <v>2</v>
      </c>
      <c r="H5">
        <v>1500</v>
      </c>
    </row>
    <row r="6" spans="1:8" x14ac:dyDescent="0.3">
      <c r="A6">
        <v>1005</v>
      </c>
      <c r="B6" t="s">
        <v>22</v>
      </c>
      <c r="C6" t="s">
        <v>23</v>
      </c>
      <c r="D6" t="s">
        <v>10</v>
      </c>
      <c r="E6" t="s">
        <v>11</v>
      </c>
      <c r="F6">
        <v>15000</v>
      </c>
      <c r="G6">
        <v>1</v>
      </c>
      <c r="H6">
        <v>3000</v>
      </c>
    </row>
    <row r="7" spans="1:8" x14ac:dyDescent="0.3">
      <c r="A7">
        <v>1006</v>
      </c>
      <c r="B7" t="s">
        <v>24</v>
      </c>
      <c r="C7" t="s">
        <v>25</v>
      </c>
      <c r="D7" t="s">
        <v>26</v>
      </c>
      <c r="E7" t="s">
        <v>14</v>
      </c>
      <c r="F7">
        <v>500</v>
      </c>
      <c r="G7">
        <v>10</v>
      </c>
      <c r="H7">
        <v>100</v>
      </c>
    </row>
    <row r="8" spans="1:8" x14ac:dyDescent="0.3">
      <c r="A8">
        <v>1007</v>
      </c>
      <c r="B8" t="s">
        <v>27</v>
      </c>
      <c r="C8" t="s">
        <v>28</v>
      </c>
      <c r="D8" t="s">
        <v>26</v>
      </c>
      <c r="E8" t="s">
        <v>18</v>
      </c>
      <c r="F8">
        <v>1000</v>
      </c>
      <c r="G8">
        <v>5</v>
      </c>
      <c r="H8">
        <v>200</v>
      </c>
    </row>
    <row r="9" spans="1:8" x14ac:dyDescent="0.3">
      <c r="A9">
        <v>1008</v>
      </c>
      <c r="B9" t="s">
        <v>29</v>
      </c>
      <c r="C9" t="s">
        <v>30</v>
      </c>
      <c r="D9" t="s">
        <v>10</v>
      </c>
      <c r="E9" t="s">
        <v>21</v>
      </c>
      <c r="F9">
        <v>12000</v>
      </c>
      <c r="G9">
        <v>1</v>
      </c>
      <c r="H9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N7" sqref="N7"/>
    </sheetView>
  </sheetViews>
  <sheetFormatPr defaultRowHeight="14.4" x14ac:dyDescent="0.3"/>
  <sheetData>
    <row r="1" spans="1:11" ht="21" x14ac:dyDescent="0.4">
      <c r="A1" s="2" t="s">
        <v>31</v>
      </c>
    </row>
    <row r="3" spans="1:11" x14ac:dyDescent="0.3">
      <c r="A3" t="s">
        <v>32</v>
      </c>
      <c r="B3">
        <f>SUM(Sales_Data!F2:F100)</f>
        <v>110500</v>
      </c>
      <c r="D3" t="s">
        <v>4</v>
      </c>
      <c r="E3" t="s">
        <v>5</v>
      </c>
      <c r="G3" t="s">
        <v>0</v>
      </c>
      <c r="H3" t="s">
        <v>5</v>
      </c>
      <c r="J3" t="s">
        <v>3</v>
      </c>
      <c r="K3" t="s">
        <v>7</v>
      </c>
    </row>
    <row r="4" spans="1:11" x14ac:dyDescent="0.3">
      <c r="A4" t="s">
        <v>33</v>
      </c>
      <c r="B4">
        <f>SUM(Sales_Data!H2:H100)</f>
        <v>21300</v>
      </c>
      <c r="D4" t="s">
        <v>11</v>
      </c>
      <c r="E4">
        <f>SUMIF(Sales_Data!E:E,"South",Sales_Data!F:F)</f>
        <v>65000</v>
      </c>
      <c r="G4">
        <f>Sales_Data!A2</f>
        <v>1001</v>
      </c>
      <c r="H4">
        <f>Sales_Data!F2</f>
        <v>50000</v>
      </c>
      <c r="J4" t="s">
        <v>10</v>
      </c>
      <c r="K4">
        <f>SUMIF(Sales_Data!D:D,"Technology",Sales_Data!H:H)</f>
        <v>18500</v>
      </c>
    </row>
    <row r="5" spans="1:11" x14ac:dyDescent="0.3">
      <c r="A5" t="s">
        <v>34</v>
      </c>
      <c r="B5">
        <f>COUNTA(Sales_Data!A2:A100)</f>
        <v>8</v>
      </c>
      <c r="D5" t="s">
        <v>14</v>
      </c>
      <c r="E5">
        <f>SUMIF(Sales_Data!E:E,"North",Sales_Data!F:F)</f>
        <v>20500</v>
      </c>
      <c r="G5">
        <f>Sales_Data!A3</f>
        <v>1002</v>
      </c>
      <c r="H5">
        <f>Sales_Data!F3</f>
        <v>20000</v>
      </c>
      <c r="J5" t="s">
        <v>17</v>
      </c>
      <c r="K5">
        <f>SUMIF(Sales_Data!D:D,"Furniture",Sales_Data!H:H)</f>
        <v>2500</v>
      </c>
    </row>
    <row r="6" spans="1:11" x14ac:dyDescent="0.3">
      <c r="A6" t="s">
        <v>35</v>
      </c>
      <c r="B6">
        <f>B3/B5</f>
        <v>13812.5</v>
      </c>
      <c r="D6" t="s">
        <v>18</v>
      </c>
      <c r="E6">
        <f>SUMIF(Sales_Data!E:E,"East",Sales_Data!F:F)</f>
        <v>6000</v>
      </c>
      <c r="G6">
        <f>Sales_Data!A4</f>
        <v>1003</v>
      </c>
      <c r="H6">
        <f>Sales_Data!F4</f>
        <v>5000</v>
      </c>
      <c r="J6" t="s">
        <v>26</v>
      </c>
      <c r="K6">
        <f>SUMIF(Sales_Data!D:D,"Office Supplies",Sales_Data!H:H)</f>
        <v>300</v>
      </c>
    </row>
    <row r="7" spans="1:11" x14ac:dyDescent="0.3">
      <c r="D7" t="s">
        <v>21</v>
      </c>
      <c r="E7">
        <f>SUMIF(Sales_Data!E:E,"West",Sales_Data!F:F)</f>
        <v>19000</v>
      </c>
      <c r="G7">
        <f>Sales_Data!A5</f>
        <v>1004</v>
      </c>
      <c r="H7">
        <f>Sales_Data!F5</f>
        <v>7000</v>
      </c>
    </row>
    <row r="8" spans="1:11" x14ac:dyDescent="0.3">
      <c r="G8">
        <f>Sales_Data!A6</f>
        <v>1005</v>
      </c>
      <c r="H8">
        <f>Sales_Data!F6</f>
        <v>15000</v>
      </c>
    </row>
    <row r="9" spans="1:11" x14ac:dyDescent="0.3">
      <c r="G9">
        <f>Sales_Data!A7</f>
        <v>1006</v>
      </c>
      <c r="H9">
        <f>Sales_Data!F7</f>
        <v>500</v>
      </c>
    </row>
    <row r="10" spans="1:11" x14ac:dyDescent="0.3">
      <c r="G10">
        <f>Sales_Data!A8</f>
        <v>1007</v>
      </c>
      <c r="H10">
        <f>Sales_Data!F8</f>
        <v>1000</v>
      </c>
    </row>
    <row r="11" spans="1:11" x14ac:dyDescent="0.3">
      <c r="G11">
        <f>Sales_Data!A9</f>
        <v>1008</v>
      </c>
      <c r="H11">
        <f>Sales_Data!F9</f>
        <v>12000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11" sqref="M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Dashboard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2026-03-29T13:55:20Z</dcterms:created>
  <dcterms:modified xsi:type="dcterms:W3CDTF">2026-03-29T14:27:39Z</dcterms:modified>
</cp:coreProperties>
</file>